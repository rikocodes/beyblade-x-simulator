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tore Beyblade X V7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tc={10754f26-434b-4d12-beda-f0a58bb7f0a5}</author>
  </authors>
  <commentList>
    <comment authorId="0" xr:uid="{10754f26-434b-4d12-beda-f0a58bb7f0a5}" ref="D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0.3 Needle, 0.4 Hexa, 0.5 Orb, 1 LR, 1.5 R
</t>
      </text>
    </comment>
  </commentList>
</comments>
</file>

<file path=xl/sharedStrings.xml><?xml version="1.0" encoding="utf-8"?>
<sst xmlns="http://schemas.openxmlformats.org/spreadsheetml/2006/main" count="50" uniqueCount="42">
  <si>
    <t>SIMULATORE FISICO BEYBLADE X - SINGLE BUILD</t>
  </si>
  <si>
    <t>Tempo (s)</t>
  </si>
  <si>
    <t>RPM</t>
  </si>
  <si>
    <t>Parametro</t>
  </si>
  <si>
    <t>Valore</t>
  </si>
  <si>
    <t>Unità</t>
  </si>
  <si>
    <t>Descrizione</t>
  </si>
  <si>
    <t>Massa Blade</t>
  </si>
  <si>
    <t>g</t>
  </si>
  <si>
    <t>Peso del metallo</t>
  </si>
  <si>
    <t>Diametro Blade</t>
  </si>
  <si>
    <t>mm</t>
  </si>
  <si>
    <t>Diametro esterno massimo</t>
  </si>
  <si>
    <t>Altezza Blade</t>
  </si>
  <si>
    <t>Spessore della lama</t>
  </si>
  <si>
    <t>Diametro Ratchet</t>
  </si>
  <si>
    <t>Larghezza del componente centrale</t>
  </si>
  <si>
    <t>Massa Ratchet</t>
  </si>
  <si>
    <t>Peso del ratchet</t>
  </si>
  <si>
    <t>Altezza Ratchet (es 60)</t>
  </si>
  <si>
    <t>Altezza del pezzo (60, 70, 80)</t>
  </si>
  <si>
    <t>Altezza Bit</t>
  </si>
  <si>
    <t>Altezza della punta scelta</t>
  </si>
  <si>
    <t>Raggio Punta Contatto</t>
  </si>
  <si>
    <t>Superficie di appoggio</t>
  </si>
  <si>
    <t>RPM Lancio</t>
  </si>
  <si>
    <t>rpm</t>
  </si>
  <si>
    <t>Velocità di lancio iniziale</t>
  </si>
  <si>
    <t>Resistenza Aria (k)</t>
  </si>
  <si>
    <t>-</t>
  </si>
  <si>
    <t>0.1 liscio, 1 Spigoloso</t>
  </si>
  <si>
    <t>RISULTATI FISICI</t>
  </si>
  <si>
    <t>Massa Totale</t>
  </si>
  <si>
    <t>Momento d'Inerzia (I)</t>
  </si>
  <si>
    <t>kg*m²</t>
  </si>
  <si>
    <t>Altezza Baricentro</t>
  </si>
  <si>
    <t>Energia Cinetica (J)</t>
  </si>
  <si>
    <t>J</t>
  </si>
  <si>
    <t>Potenza d'Urto (N)</t>
  </si>
  <si>
    <t>N</t>
  </si>
  <si>
    <t>Coppia Attrito (τ)</t>
  </si>
  <si>
    <t>N*m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</si>
</sst>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6">
    <font>
      <sz val="11.0"/>
      <color theme="1"/>
      <name val="Calibri"/>
      <scheme val="minor"/>
    </font>
    <font>
      <b/>
      <color rgb="FFFFFFFF"/>
      <name val="Calibri"/>
      <scheme val="minor"/>
    </font>
    <font/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Border="1" applyFill="1" applyFont="1"/>
    <xf borderId="4" fillId="0" fontId="5" numFmtId="0" xfId="0" applyBorder="1" applyFont="1"/>
    <xf borderId="4" fillId="4" fontId="5" numFmtId="0" xfId="0" applyBorder="1" applyFill="1" applyFont="1"/>
    <xf borderId="0" fillId="0" fontId="3" numFmtId="0" xfId="0" applyAlignment="1" applyFont="1">
      <alignment readingOrder="0"/>
    </xf>
    <xf borderId="4" fillId="4" fontId="5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1" fillId="2" fontId="1" numFmtId="0" xfId="0" applyBorder="1" applyFont="1"/>
    <xf borderId="4" fillId="0" fontId="5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Curva di Decadimento RPM (Fisica Reale)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'Simulatore Beyblade X V7'!$G$1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'Simulatore Beyblade X V7'!$F$2:$F$200</c:f>
            </c:strRef>
          </c:cat>
          <c:val>
            <c:numRef>
              <c:f>'Simulatore Beyblade X V7'!$G$2:$G$200</c:f>
              <c:numCache/>
            </c:numRef>
          </c:val>
          <c:smooth val="0"/>
        </c:ser>
        <c:axId val="619079962"/>
        <c:axId val="1481581623"/>
      </c:lineChart>
      <c:catAx>
        <c:axId val="6190799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Secondi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1581623"/>
      </c:catAx>
      <c:valAx>
        <c:axId val="14815816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Giri al Minuto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90799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21</xdr:row>
      <xdr:rowOff>0</xdr:rowOff>
    </xdr:from>
    <xdr:ext cx="5391150" cy="2695575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Joynder" id="{16374d64-fcb9-4137-b054-e59ff7c3163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0" dT="2026-04-28T20:30:38.00" personId="{16374d64-fcb9-4137-b054-e59ff7c31630}" id="{10754f26-434b-4d12-beda-f0a58bb7f0a5}" done="0">
    <x18tc:text xml:space="preserve">0.3 Needle, 0.4 Hexa, 0.5 Orb, 1 LR, 1.5 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5.0"/>
    <col customWidth="1" min="3" max="3" width="8.71"/>
    <col customWidth="1" min="4" max="4" width="40.0"/>
    <col customWidth="1" min="5" max="26" width="8.71"/>
  </cols>
  <sheetData>
    <row r="1">
      <c r="A1" s="1" t="s">
        <v>0</v>
      </c>
      <c r="B1" s="2"/>
      <c r="C1" s="2"/>
      <c r="D1" s="3"/>
      <c r="F1" s="4" t="s">
        <v>1</v>
      </c>
      <c r="G1" s="4" t="s">
        <v>2</v>
      </c>
    </row>
    <row r="2">
      <c r="A2" s="5" t="s">
        <v>3</v>
      </c>
      <c r="B2" s="5" t="s">
        <v>4</v>
      </c>
      <c r="C2" s="5" t="s">
        <v>5</v>
      </c>
      <c r="D2" s="5" t="s">
        <v>6</v>
      </c>
      <c r="F2" s="4">
        <v>0.0</v>
      </c>
      <c r="G2" s="4">
        <f>B11</f>
        <v>8000</v>
      </c>
    </row>
    <row r="3">
      <c r="A3" s="6" t="s">
        <v>7</v>
      </c>
      <c r="B3" s="7">
        <v>35.0</v>
      </c>
      <c r="C3" s="6" t="s">
        <v>8</v>
      </c>
      <c r="D3" s="6" t="s">
        <v>9</v>
      </c>
      <c r="F3" s="8">
        <v>1.0</v>
      </c>
      <c r="G3" s="4">
        <f t="shared" ref="G3:G202" si="1">MAX(0, G2 - ($B$12 * (G2/1000)^2) - ($B$20/$B$16 * 60/(2*PI())))</f>
        <v>7792.221483</v>
      </c>
    </row>
    <row r="4">
      <c r="A4" s="6" t="s">
        <v>10</v>
      </c>
      <c r="B4" s="7">
        <v>48.0</v>
      </c>
      <c r="C4" s="6" t="s">
        <v>11</v>
      </c>
      <c r="D4" s="6" t="s">
        <v>12</v>
      </c>
      <c r="F4" s="8">
        <v>2.0</v>
      </c>
      <c r="G4" s="4">
        <f t="shared" si="1"/>
        <v>7587.724249</v>
      </c>
    </row>
    <row r="5">
      <c r="A5" s="6" t="s">
        <v>13</v>
      </c>
      <c r="B5" s="9">
        <v>10.0</v>
      </c>
      <c r="C5" s="6" t="s">
        <v>11</v>
      </c>
      <c r="D5" s="6" t="s">
        <v>14</v>
      </c>
      <c r="F5" s="8">
        <v>3.0</v>
      </c>
      <c r="G5" s="4">
        <f t="shared" si="1"/>
        <v>7386.372173</v>
      </c>
    </row>
    <row r="6">
      <c r="A6" s="6" t="s">
        <v>15</v>
      </c>
      <c r="B6" s="7">
        <v>32.0</v>
      </c>
      <c r="C6" s="6" t="s">
        <v>11</v>
      </c>
      <c r="D6" s="6" t="s">
        <v>16</v>
      </c>
      <c r="F6" s="4">
        <v>4.0</v>
      </c>
      <c r="G6" s="4">
        <f t="shared" si="1"/>
        <v>7188.035161</v>
      </c>
    </row>
    <row r="7">
      <c r="A7" s="6" t="s">
        <v>17</v>
      </c>
      <c r="B7" s="9">
        <v>5.0</v>
      </c>
      <c r="C7" s="6" t="s">
        <v>8</v>
      </c>
      <c r="D7" s="6" t="s">
        <v>18</v>
      </c>
      <c r="F7" s="8">
        <v>5.0</v>
      </c>
      <c r="G7" s="4">
        <f t="shared" si="1"/>
        <v>6992.588794</v>
      </c>
    </row>
    <row r="8">
      <c r="A8" s="6" t="s">
        <v>19</v>
      </c>
      <c r="B8" s="7">
        <v>60.0</v>
      </c>
      <c r="C8" s="6" t="s">
        <v>11</v>
      </c>
      <c r="D8" s="6" t="s">
        <v>20</v>
      </c>
      <c r="F8" s="8">
        <v>6.0</v>
      </c>
      <c r="G8" s="4">
        <f t="shared" si="1"/>
        <v>6799.913979</v>
      </c>
    </row>
    <row r="9">
      <c r="A9" s="6" t="s">
        <v>21</v>
      </c>
      <c r="B9" s="7">
        <v>20.0</v>
      </c>
      <c r="C9" s="6" t="s">
        <v>11</v>
      </c>
      <c r="D9" s="6" t="s">
        <v>22</v>
      </c>
      <c r="F9" s="8">
        <v>7.0</v>
      </c>
      <c r="G9" s="4">
        <f t="shared" si="1"/>
        <v>6609.896631</v>
      </c>
    </row>
    <row r="10">
      <c r="A10" s="6" t="s">
        <v>23</v>
      </c>
      <c r="B10" s="9">
        <v>1.0</v>
      </c>
      <c r="C10" s="6" t="s">
        <v>11</v>
      </c>
      <c r="D10" s="10" t="s">
        <v>24</v>
      </c>
      <c r="F10" s="4">
        <v>8.0</v>
      </c>
      <c r="G10" s="4">
        <f t="shared" si="1"/>
        <v>6422.42738</v>
      </c>
    </row>
    <row r="11">
      <c r="A11" s="6" t="s">
        <v>25</v>
      </c>
      <c r="B11" s="9">
        <v>8000.0</v>
      </c>
      <c r="C11" s="6" t="s">
        <v>26</v>
      </c>
      <c r="D11" s="6" t="s">
        <v>27</v>
      </c>
      <c r="F11" s="8">
        <v>9.0</v>
      </c>
      <c r="G11" s="4">
        <f t="shared" si="1"/>
        <v>6237.401289</v>
      </c>
    </row>
    <row r="12">
      <c r="A12" s="6" t="s">
        <v>28</v>
      </c>
      <c r="B12" s="9">
        <v>1.0</v>
      </c>
      <c r="C12" s="6" t="s">
        <v>29</v>
      </c>
      <c r="D12" s="10" t="s">
        <v>30</v>
      </c>
      <c r="F12" s="8">
        <v>10.0</v>
      </c>
      <c r="G12" s="4">
        <f t="shared" si="1"/>
        <v>6054.717597</v>
      </c>
    </row>
    <row r="13">
      <c r="F13" s="8">
        <v>11.0</v>
      </c>
      <c r="G13" s="4">
        <f t="shared" si="1"/>
        <v>5874.279474</v>
      </c>
    </row>
    <row r="14">
      <c r="A14" s="11" t="s">
        <v>31</v>
      </c>
      <c r="B14" s="2"/>
      <c r="C14" s="2"/>
      <c r="D14" s="3"/>
      <c r="F14" s="4">
        <v>12.0</v>
      </c>
      <c r="G14" s="4">
        <f t="shared" si="1"/>
        <v>5695.993797</v>
      </c>
    </row>
    <row r="15">
      <c r="A15" s="6" t="s">
        <v>32</v>
      </c>
      <c r="B15" s="12">
        <f>B3+B7+2.5</f>
        <v>42.5</v>
      </c>
      <c r="C15" s="6" t="s">
        <v>8</v>
      </c>
      <c r="F15" s="8">
        <v>13.0</v>
      </c>
      <c r="G15" s="4">
        <f t="shared" si="1"/>
        <v>5519.770935</v>
      </c>
    </row>
    <row r="16">
      <c r="A16" s="6" t="s">
        <v>33</v>
      </c>
      <c r="B16" s="12">
        <f>(0.5*(B3/1000)*(B4/2000)^2) + (0.5*(B7/1000)*(B6/2000)^2)</f>
        <v>0.00001072</v>
      </c>
      <c r="C16" s="6" t="s">
        <v>34</v>
      </c>
      <c r="F16" s="8">
        <v>14.0</v>
      </c>
      <c r="G16" s="4">
        <f t="shared" si="1"/>
        <v>5345.524546</v>
      </c>
    </row>
    <row r="17">
      <c r="A17" s="6" t="s">
        <v>35</v>
      </c>
      <c r="B17" s="12">
        <f>(B3*(B8+B9+B5/2) + B7*(B8/2+B9)) / B15</f>
        <v>75.88235294</v>
      </c>
      <c r="C17" s="6" t="s">
        <v>11</v>
      </c>
      <c r="F17" s="8">
        <v>15.0</v>
      </c>
      <c r="G17" s="4">
        <f t="shared" si="1"/>
        <v>5173.171396</v>
      </c>
    </row>
    <row r="18">
      <c r="A18" s="6" t="s">
        <v>36</v>
      </c>
      <c r="B18" s="12">
        <f>0.5 * B16 * (B11*2*PI()/60)^2</f>
        <v>3.761854549</v>
      </c>
      <c r="C18" s="6" t="s">
        <v>37</v>
      </c>
      <c r="F18" s="4">
        <v>16.0</v>
      </c>
      <c r="G18" s="4">
        <f t="shared" si="1"/>
        <v>5002.631176</v>
      </c>
    </row>
    <row r="19">
      <c r="A19" s="6" t="s">
        <v>38</v>
      </c>
      <c r="B19" s="12">
        <f>(B3/1000) * ((B11*2*PI()/60)*(B4/2000)) / 0.01</f>
        <v>70.37167544</v>
      </c>
      <c r="C19" s="6" t="s">
        <v>39</v>
      </c>
      <c r="F19" s="8">
        <v>17.0</v>
      </c>
      <c r="G19" s="4">
        <f t="shared" si="1"/>
        <v>4833.82634</v>
      </c>
    </row>
    <row r="20">
      <c r="A20" s="6" t="s">
        <v>40</v>
      </c>
      <c r="B20" s="12">
        <f>(0.15*(B15/1000)*9.81*(B10/1000)) * (1 + (B17/B4))</f>
        <v>0.0001614051563</v>
      </c>
      <c r="C20" s="6" t="s">
        <v>41</v>
      </c>
      <c r="F20" s="8">
        <v>18.0</v>
      </c>
      <c r="G20" s="4">
        <f t="shared" si="1"/>
        <v>4666.681945</v>
      </c>
    </row>
    <row r="21" ht="15.75" customHeight="1">
      <c r="F21" s="8">
        <v>19.0</v>
      </c>
      <c r="G21" s="4">
        <f t="shared" si="1"/>
        <v>4501.125507</v>
      </c>
    </row>
    <row r="22" ht="15.75" customHeight="1">
      <c r="F22" s="4">
        <v>20.0</v>
      </c>
      <c r="G22" s="4">
        <f t="shared" si="1"/>
        <v>4337.086859</v>
      </c>
    </row>
    <row r="23" ht="15.75" customHeight="1">
      <c r="F23" s="8">
        <v>21.0</v>
      </c>
      <c r="G23" s="4">
        <f t="shared" si="1"/>
        <v>4174.498019</v>
      </c>
    </row>
    <row r="24" ht="15.75" customHeight="1">
      <c r="F24" s="8">
        <v>22.0</v>
      </c>
      <c r="G24" s="4">
        <f t="shared" si="1"/>
        <v>4013.293068</v>
      </c>
    </row>
    <row r="25" ht="15.75" customHeight="1">
      <c r="F25" s="8">
        <v>23.0</v>
      </c>
      <c r="G25" s="4">
        <f t="shared" si="1"/>
        <v>3853.408029</v>
      </c>
    </row>
    <row r="26" ht="15.75" customHeight="1">
      <c r="F26" s="4">
        <v>24.0</v>
      </c>
      <c r="G26" s="4">
        <f t="shared" si="1"/>
        <v>3694.780758</v>
      </c>
    </row>
    <row r="27" ht="15.75" customHeight="1">
      <c r="F27" s="8">
        <v>25.0</v>
      </c>
      <c r="G27" s="4">
        <f t="shared" si="1"/>
        <v>3537.350836</v>
      </c>
    </row>
    <row r="28" ht="15.75" customHeight="1">
      <c r="F28" s="8">
        <v>26.0</v>
      </c>
      <c r="G28" s="4">
        <f t="shared" si="1"/>
        <v>3381.059468</v>
      </c>
    </row>
    <row r="29" ht="15.75" customHeight="1">
      <c r="F29" s="8">
        <v>27.0</v>
      </c>
      <c r="G29" s="4">
        <f t="shared" si="1"/>
        <v>3225.849387</v>
      </c>
    </row>
    <row r="30" ht="15.75" customHeight="1">
      <c r="F30" s="4">
        <v>28.0</v>
      </c>
      <c r="G30" s="4">
        <f t="shared" si="1"/>
        <v>3071.664765</v>
      </c>
    </row>
    <row r="31" ht="15.75" customHeight="1">
      <c r="F31" s="8">
        <v>29.0</v>
      </c>
      <c r="G31" s="4">
        <f t="shared" si="1"/>
        <v>2918.451123</v>
      </c>
    </row>
    <row r="32" ht="15.75" customHeight="1">
      <c r="F32" s="8">
        <v>30.0</v>
      </c>
      <c r="G32" s="4">
        <f t="shared" si="1"/>
        <v>2766.155249</v>
      </c>
    </row>
    <row r="33" ht="15.75" customHeight="1">
      <c r="F33" s="8">
        <v>31.0</v>
      </c>
      <c r="G33" s="4">
        <f t="shared" si="1"/>
        <v>2614.725116</v>
      </c>
    </row>
    <row r="34" ht="15.75" customHeight="1">
      <c r="F34" s="4">
        <v>32.0</v>
      </c>
      <c r="G34" s="4">
        <f t="shared" si="1"/>
        <v>2464.109812</v>
      </c>
    </row>
    <row r="35" ht="15.75" customHeight="1">
      <c r="F35" s="8">
        <v>33.0</v>
      </c>
      <c r="G35" s="4">
        <f t="shared" si="1"/>
        <v>2314.259457</v>
      </c>
    </row>
    <row r="36" ht="15.75" customHeight="1">
      <c r="F36" s="8">
        <v>34.0</v>
      </c>
      <c r="G36" s="4">
        <f t="shared" si="1"/>
        <v>2165.125143</v>
      </c>
    </row>
    <row r="37" ht="15.75" customHeight="1">
      <c r="F37" s="8">
        <v>35.0</v>
      </c>
      <c r="G37" s="4">
        <f t="shared" si="1"/>
        <v>2016.658858</v>
      </c>
    </row>
    <row r="38" ht="15.75" customHeight="1">
      <c r="F38" s="4">
        <v>36.0</v>
      </c>
      <c r="G38" s="4">
        <f t="shared" si="1"/>
        <v>1868.813428</v>
      </c>
    </row>
    <row r="39" ht="15.75" customHeight="1">
      <c r="F39" s="8">
        <v>37.0</v>
      </c>
      <c r="G39" s="4">
        <f t="shared" si="1"/>
        <v>1721.542447</v>
      </c>
    </row>
    <row r="40" ht="15.75" customHeight="1">
      <c r="F40" s="8">
        <v>38.0</v>
      </c>
      <c r="G40" s="4">
        <f t="shared" si="1"/>
        <v>1574.800221</v>
      </c>
    </row>
    <row r="41" ht="15.75" customHeight="1">
      <c r="F41" s="8">
        <v>39.0</v>
      </c>
      <c r="G41" s="4">
        <f t="shared" si="1"/>
        <v>1428.541708</v>
      </c>
    </row>
    <row r="42" ht="15.75" customHeight="1">
      <c r="F42" s="4">
        <v>40.0</v>
      </c>
      <c r="G42" s="4">
        <f t="shared" si="1"/>
        <v>1282.722459</v>
      </c>
    </row>
    <row r="43" ht="15.75" customHeight="1">
      <c r="F43" s="8">
        <v>41.0</v>
      </c>
      <c r="G43" s="4">
        <f t="shared" si="1"/>
        <v>1137.298564</v>
      </c>
    </row>
    <row r="44" ht="15.75" customHeight="1">
      <c r="F44" s="8">
        <v>42.0</v>
      </c>
      <c r="G44" s="4">
        <f t="shared" si="1"/>
        <v>992.2265987</v>
      </c>
    </row>
    <row r="45" ht="15.75" customHeight="1">
      <c r="F45" s="8">
        <v>43.0</v>
      </c>
      <c r="G45" s="4">
        <f t="shared" si="1"/>
        <v>847.4635676</v>
      </c>
    </row>
    <row r="46" ht="15.75" customHeight="1">
      <c r="F46" s="4">
        <v>44.0</v>
      </c>
      <c r="G46" s="4">
        <f t="shared" si="1"/>
        <v>702.9668556</v>
      </c>
    </row>
    <row r="47" ht="15.75" customHeight="1">
      <c r="F47" s="8">
        <v>45.0</v>
      </c>
      <c r="G47" s="4">
        <f t="shared" si="1"/>
        <v>558.6941758</v>
      </c>
    </row>
    <row r="48" ht="15.75" customHeight="1">
      <c r="F48" s="8">
        <v>46.0</v>
      </c>
      <c r="G48" s="4">
        <f t="shared" si="1"/>
        <v>414.6035191</v>
      </c>
    </row>
    <row r="49" ht="15.75" customHeight="1">
      <c r="F49" s="8">
        <v>47.0</v>
      </c>
      <c r="G49" s="4">
        <f t="shared" si="1"/>
        <v>270.6531055</v>
      </c>
    </row>
    <row r="50" ht="15.75" customHeight="1">
      <c r="F50" s="4">
        <v>48.0</v>
      </c>
      <c r="G50" s="4">
        <f t="shared" si="1"/>
        <v>126.8013349</v>
      </c>
    </row>
    <row r="51" ht="15.75" customHeight="1">
      <c r="F51" s="8">
        <v>49.0</v>
      </c>
      <c r="G51" s="4">
        <f t="shared" si="1"/>
        <v>0</v>
      </c>
    </row>
    <row r="52" ht="15.75" customHeight="1">
      <c r="F52" s="8">
        <v>50.0</v>
      </c>
      <c r="G52" s="4">
        <f t="shared" si="1"/>
        <v>0</v>
      </c>
    </row>
    <row r="53" ht="15.75" customHeight="1">
      <c r="F53" s="8">
        <v>51.0</v>
      </c>
      <c r="G53" s="4">
        <f t="shared" si="1"/>
        <v>0</v>
      </c>
    </row>
    <row r="54" ht="15.75" customHeight="1">
      <c r="F54" s="4">
        <v>52.0</v>
      </c>
      <c r="G54" s="4">
        <f t="shared" si="1"/>
        <v>0</v>
      </c>
    </row>
    <row r="55" ht="15.75" customHeight="1">
      <c r="F55" s="8">
        <v>53.0</v>
      </c>
      <c r="G55" s="4">
        <f t="shared" si="1"/>
        <v>0</v>
      </c>
    </row>
    <row r="56" ht="15.75" customHeight="1">
      <c r="F56" s="8">
        <v>54.0</v>
      </c>
      <c r="G56" s="4">
        <f t="shared" si="1"/>
        <v>0</v>
      </c>
    </row>
    <row r="57" ht="15.75" customHeight="1">
      <c r="F57" s="8">
        <v>55.0</v>
      </c>
      <c r="G57" s="4">
        <f t="shared" si="1"/>
        <v>0</v>
      </c>
    </row>
    <row r="58" ht="15.75" customHeight="1">
      <c r="F58" s="4">
        <v>56.0</v>
      </c>
      <c r="G58" s="4">
        <f t="shared" si="1"/>
        <v>0</v>
      </c>
    </row>
    <row r="59" ht="15.75" customHeight="1">
      <c r="F59" s="8">
        <v>57.0</v>
      </c>
      <c r="G59" s="4">
        <f t="shared" si="1"/>
        <v>0</v>
      </c>
    </row>
    <row r="60" ht="15.75" customHeight="1">
      <c r="F60" s="8">
        <v>58.0</v>
      </c>
      <c r="G60" s="4">
        <f t="shared" si="1"/>
        <v>0</v>
      </c>
    </row>
    <row r="61" ht="15.75" customHeight="1">
      <c r="F61" s="8">
        <v>59.0</v>
      </c>
      <c r="G61" s="4">
        <f t="shared" si="1"/>
        <v>0</v>
      </c>
    </row>
    <row r="62" ht="15.75" customHeight="1">
      <c r="F62" s="4">
        <v>60.0</v>
      </c>
      <c r="G62" s="4">
        <f t="shared" si="1"/>
        <v>0</v>
      </c>
    </row>
    <row r="63" ht="15.75" customHeight="1">
      <c r="F63" s="8">
        <v>61.0</v>
      </c>
      <c r="G63" s="4">
        <f t="shared" si="1"/>
        <v>0</v>
      </c>
    </row>
    <row r="64" ht="15.75" customHeight="1">
      <c r="F64" s="8">
        <v>62.0</v>
      </c>
      <c r="G64" s="4">
        <f t="shared" si="1"/>
        <v>0</v>
      </c>
    </row>
    <row r="65" ht="15.75" customHeight="1">
      <c r="F65" s="8">
        <v>63.0</v>
      </c>
      <c r="G65" s="4">
        <f t="shared" si="1"/>
        <v>0</v>
      </c>
    </row>
    <row r="66" ht="15.75" customHeight="1">
      <c r="F66" s="4">
        <v>64.0</v>
      </c>
      <c r="G66" s="4">
        <f t="shared" si="1"/>
        <v>0</v>
      </c>
    </row>
    <row r="67" ht="15.75" customHeight="1">
      <c r="F67" s="8">
        <v>65.0</v>
      </c>
      <c r="G67" s="4">
        <f t="shared" si="1"/>
        <v>0</v>
      </c>
    </row>
    <row r="68" ht="15.75" customHeight="1">
      <c r="F68" s="8">
        <v>66.0</v>
      </c>
      <c r="G68" s="4">
        <f t="shared" si="1"/>
        <v>0</v>
      </c>
    </row>
    <row r="69" ht="15.75" customHeight="1">
      <c r="F69" s="8">
        <v>67.0</v>
      </c>
      <c r="G69" s="4">
        <f t="shared" si="1"/>
        <v>0</v>
      </c>
    </row>
    <row r="70" ht="15.75" customHeight="1">
      <c r="F70" s="4">
        <v>68.0</v>
      </c>
      <c r="G70" s="4">
        <f t="shared" si="1"/>
        <v>0</v>
      </c>
    </row>
    <row r="71" ht="15.75" customHeight="1">
      <c r="F71" s="8">
        <v>69.0</v>
      </c>
      <c r="G71" s="4">
        <f t="shared" si="1"/>
        <v>0</v>
      </c>
    </row>
    <row r="72" ht="15.75" customHeight="1">
      <c r="F72" s="8">
        <v>70.0</v>
      </c>
      <c r="G72" s="4">
        <f t="shared" si="1"/>
        <v>0</v>
      </c>
    </row>
    <row r="73" ht="15.75" customHeight="1">
      <c r="F73" s="8">
        <v>71.0</v>
      </c>
      <c r="G73" s="4">
        <f t="shared" si="1"/>
        <v>0</v>
      </c>
    </row>
    <row r="74" ht="15.75" customHeight="1">
      <c r="F74" s="4">
        <v>72.0</v>
      </c>
      <c r="G74" s="4">
        <f t="shared" si="1"/>
        <v>0</v>
      </c>
    </row>
    <row r="75" ht="15.75" customHeight="1">
      <c r="F75" s="8">
        <v>73.0</v>
      </c>
      <c r="G75" s="4">
        <f t="shared" si="1"/>
        <v>0</v>
      </c>
    </row>
    <row r="76" ht="15.75" customHeight="1">
      <c r="F76" s="8">
        <v>74.0</v>
      </c>
      <c r="G76" s="4">
        <f t="shared" si="1"/>
        <v>0</v>
      </c>
    </row>
    <row r="77" ht="15.75" customHeight="1">
      <c r="F77" s="8">
        <v>75.0</v>
      </c>
      <c r="G77" s="4">
        <f t="shared" si="1"/>
        <v>0</v>
      </c>
    </row>
    <row r="78" ht="15.75" customHeight="1">
      <c r="F78" s="4">
        <v>76.0</v>
      </c>
      <c r="G78" s="4">
        <f t="shared" si="1"/>
        <v>0</v>
      </c>
    </row>
    <row r="79" ht="15.75" customHeight="1">
      <c r="F79" s="8">
        <v>77.0</v>
      </c>
      <c r="G79" s="4">
        <f t="shared" si="1"/>
        <v>0</v>
      </c>
    </row>
    <row r="80" ht="15.75" customHeight="1">
      <c r="F80" s="8">
        <v>78.0</v>
      </c>
      <c r="G80" s="4">
        <f t="shared" si="1"/>
        <v>0</v>
      </c>
    </row>
    <row r="81" ht="15.75" customHeight="1">
      <c r="F81" s="8">
        <v>79.0</v>
      </c>
      <c r="G81" s="4">
        <f t="shared" si="1"/>
        <v>0</v>
      </c>
    </row>
    <row r="82" ht="15.75" customHeight="1">
      <c r="F82" s="4">
        <v>80.0</v>
      </c>
      <c r="G82" s="4">
        <f t="shared" si="1"/>
        <v>0</v>
      </c>
    </row>
    <row r="83" ht="15.75" customHeight="1">
      <c r="F83" s="8">
        <v>81.0</v>
      </c>
      <c r="G83" s="4">
        <f t="shared" si="1"/>
        <v>0</v>
      </c>
    </row>
    <row r="84" ht="15.75" customHeight="1">
      <c r="F84" s="8">
        <v>82.0</v>
      </c>
      <c r="G84" s="4">
        <f t="shared" si="1"/>
        <v>0</v>
      </c>
    </row>
    <row r="85" ht="15.75" customHeight="1">
      <c r="F85" s="8">
        <v>83.0</v>
      </c>
      <c r="G85" s="4">
        <f t="shared" si="1"/>
        <v>0</v>
      </c>
    </row>
    <row r="86" ht="15.75" customHeight="1">
      <c r="F86" s="4">
        <v>84.0</v>
      </c>
      <c r="G86" s="4">
        <f t="shared" si="1"/>
        <v>0</v>
      </c>
    </row>
    <row r="87" ht="15.75" customHeight="1">
      <c r="F87" s="8">
        <v>85.0</v>
      </c>
      <c r="G87" s="4">
        <f t="shared" si="1"/>
        <v>0</v>
      </c>
    </row>
    <row r="88" ht="15.75" customHeight="1">
      <c r="F88" s="8">
        <v>86.0</v>
      </c>
      <c r="G88" s="4">
        <f t="shared" si="1"/>
        <v>0</v>
      </c>
    </row>
    <row r="89" ht="15.75" customHeight="1">
      <c r="F89" s="8">
        <v>87.0</v>
      </c>
      <c r="G89" s="4">
        <f t="shared" si="1"/>
        <v>0</v>
      </c>
    </row>
    <row r="90" ht="15.75" customHeight="1">
      <c r="F90" s="4">
        <v>88.0</v>
      </c>
      <c r="G90" s="4">
        <f t="shared" si="1"/>
        <v>0</v>
      </c>
    </row>
    <row r="91" ht="15.75" customHeight="1">
      <c r="F91" s="8">
        <v>89.0</v>
      </c>
      <c r="G91" s="4">
        <f t="shared" si="1"/>
        <v>0</v>
      </c>
    </row>
    <row r="92" ht="15.75" customHeight="1">
      <c r="F92" s="8">
        <v>90.0</v>
      </c>
      <c r="G92" s="4">
        <f t="shared" si="1"/>
        <v>0</v>
      </c>
    </row>
    <row r="93" ht="15.75" customHeight="1">
      <c r="F93" s="8">
        <v>91.0</v>
      </c>
      <c r="G93" s="4">
        <f t="shared" si="1"/>
        <v>0</v>
      </c>
    </row>
    <row r="94" ht="15.75" customHeight="1">
      <c r="F94" s="4">
        <v>92.0</v>
      </c>
      <c r="G94" s="4">
        <f t="shared" si="1"/>
        <v>0</v>
      </c>
    </row>
    <row r="95" ht="15.75" customHeight="1">
      <c r="F95" s="8">
        <v>93.0</v>
      </c>
      <c r="G95" s="4">
        <f t="shared" si="1"/>
        <v>0</v>
      </c>
    </row>
    <row r="96" ht="15.75" customHeight="1">
      <c r="F96" s="8">
        <v>94.0</v>
      </c>
      <c r="G96" s="4">
        <f t="shared" si="1"/>
        <v>0</v>
      </c>
    </row>
    <row r="97" ht="15.75" customHeight="1">
      <c r="F97" s="8">
        <v>95.0</v>
      </c>
      <c r="G97" s="4">
        <f t="shared" si="1"/>
        <v>0</v>
      </c>
    </row>
    <row r="98" ht="15.75" customHeight="1">
      <c r="F98" s="4">
        <v>96.0</v>
      </c>
      <c r="G98" s="4">
        <f t="shared" si="1"/>
        <v>0</v>
      </c>
    </row>
    <row r="99" ht="15.75" customHeight="1">
      <c r="F99" s="8">
        <v>97.0</v>
      </c>
      <c r="G99" s="4">
        <f t="shared" si="1"/>
        <v>0</v>
      </c>
    </row>
    <row r="100" ht="15.75" customHeight="1">
      <c r="F100" s="8">
        <v>98.0</v>
      </c>
      <c r="G100" s="4">
        <f t="shared" si="1"/>
        <v>0</v>
      </c>
    </row>
    <row r="101" ht="15.75" customHeight="1">
      <c r="F101" s="8">
        <v>99.0</v>
      </c>
      <c r="G101" s="4">
        <f t="shared" si="1"/>
        <v>0</v>
      </c>
    </row>
    <row r="102" ht="15.75" customHeight="1">
      <c r="F102" s="4">
        <v>100.0</v>
      </c>
      <c r="G102" s="4">
        <f t="shared" si="1"/>
        <v>0</v>
      </c>
    </row>
    <row r="103" ht="15.75" customHeight="1">
      <c r="F103" s="8">
        <v>101.0</v>
      </c>
      <c r="G103" s="4">
        <f t="shared" si="1"/>
        <v>0</v>
      </c>
    </row>
    <row r="104" ht="15.75" customHeight="1">
      <c r="F104" s="8">
        <v>102.0</v>
      </c>
      <c r="G104" s="4">
        <f t="shared" si="1"/>
        <v>0</v>
      </c>
    </row>
    <row r="105" ht="15.75" customHeight="1">
      <c r="F105" s="8">
        <v>103.0</v>
      </c>
      <c r="G105" s="4">
        <f t="shared" si="1"/>
        <v>0</v>
      </c>
    </row>
    <row r="106" ht="15.75" customHeight="1">
      <c r="F106" s="4">
        <v>104.0</v>
      </c>
      <c r="G106" s="4">
        <f t="shared" si="1"/>
        <v>0</v>
      </c>
    </row>
    <row r="107" ht="15.75" customHeight="1">
      <c r="F107" s="8">
        <v>105.0</v>
      </c>
      <c r="G107" s="4">
        <f t="shared" si="1"/>
        <v>0</v>
      </c>
    </row>
    <row r="108" ht="15.75" customHeight="1">
      <c r="F108" s="8">
        <v>106.0</v>
      </c>
      <c r="G108" s="4">
        <f t="shared" si="1"/>
        <v>0</v>
      </c>
    </row>
    <row r="109" ht="15.75" customHeight="1">
      <c r="F109" s="8">
        <v>107.0</v>
      </c>
      <c r="G109" s="4">
        <f t="shared" si="1"/>
        <v>0</v>
      </c>
    </row>
    <row r="110" ht="15.75" customHeight="1">
      <c r="F110" s="4">
        <v>108.0</v>
      </c>
      <c r="G110" s="4">
        <f t="shared" si="1"/>
        <v>0</v>
      </c>
    </row>
    <row r="111" ht="15.75" customHeight="1">
      <c r="F111" s="8">
        <v>109.0</v>
      </c>
      <c r="G111" s="4">
        <f t="shared" si="1"/>
        <v>0</v>
      </c>
    </row>
    <row r="112" ht="15.75" customHeight="1">
      <c r="F112" s="8">
        <v>110.0</v>
      </c>
      <c r="G112" s="4">
        <f t="shared" si="1"/>
        <v>0</v>
      </c>
    </row>
    <row r="113" ht="15.75" customHeight="1">
      <c r="F113" s="8">
        <v>111.0</v>
      </c>
      <c r="G113" s="4">
        <f t="shared" si="1"/>
        <v>0</v>
      </c>
    </row>
    <row r="114" ht="15.75" customHeight="1">
      <c r="F114" s="4">
        <v>112.0</v>
      </c>
      <c r="G114" s="4">
        <f t="shared" si="1"/>
        <v>0</v>
      </c>
    </row>
    <row r="115" ht="15.75" customHeight="1">
      <c r="F115" s="8">
        <v>113.0</v>
      </c>
      <c r="G115" s="4">
        <f t="shared" si="1"/>
        <v>0</v>
      </c>
    </row>
    <row r="116" ht="15.75" customHeight="1">
      <c r="F116" s="8">
        <v>114.0</v>
      </c>
      <c r="G116" s="4">
        <f t="shared" si="1"/>
        <v>0</v>
      </c>
    </row>
    <row r="117" ht="15.75" customHeight="1">
      <c r="F117" s="8">
        <v>115.0</v>
      </c>
      <c r="G117" s="4">
        <f t="shared" si="1"/>
        <v>0</v>
      </c>
    </row>
    <row r="118" ht="15.75" customHeight="1">
      <c r="F118" s="4">
        <v>116.0</v>
      </c>
      <c r="G118" s="4">
        <f t="shared" si="1"/>
        <v>0</v>
      </c>
    </row>
    <row r="119" ht="15.75" customHeight="1">
      <c r="F119" s="8">
        <v>117.0</v>
      </c>
      <c r="G119" s="4">
        <f t="shared" si="1"/>
        <v>0</v>
      </c>
    </row>
    <row r="120" ht="15.75" customHeight="1">
      <c r="F120" s="8">
        <v>118.0</v>
      </c>
      <c r="G120" s="4">
        <f t="shared" si="1"/>
        <v>0</v>
      </c>
    </row>
    <row r="121" ht="15.75" customHeight="1">
      <c r="F121" s="8">
        <v>119.0</v>
      </c>
      <c r="G121" s="4">
        <f t="shared" si="1"/>
        <v>0</v>
      </c>
    </row>
    <row r="122" ht="15.75" customHeight="1">
      <c r="F122" s="4">
        <v>120.0</v>
      </c>
      <c r="G122" s="4">
        <f t="shared" si="1"/>
        <v>0</v>
      </c>
    </row>
    <row r="123" ht="15.75" customHeight="1">
      <c r="F123" s="8">
        <v>121.0</v>
      </c>
      <c r="G123" s="4">
        <f t="shared" si="1"/>
        <v>0</v>
      </c>
    </row>
    <row r="124" ht="15.75" customHeight="1">
      <c r="F124" s="8">
        <v>122.0</v>
      </c>
      <c r="G124" s="4">
        <f t="shared" si="1"/>
        <v>0</v>
      </c>
    </row>
    <row r="125" ht="15.75" customHeight="1">
      <c r="F125" s="8">
        <v>123.0</v>
      </c>
      <c r="G125" s="4">
        <f t="shared" si="1"/>
        <v>0</v>
      </c>
    </row>
    <row r="126" ht="15.75" customHeight="1">
      <c r="F126" s="4">
        <v>124.0</v>
      </c>
      <c r="G126" s="4">
        <f t="shared" si="1"/>
        <v>0</v>
      </c>
    </row>
    <row r="127" ht="15.75" customHeight="1">
      <c r="F127" s="8">
        <v>125.0</v>
      </c>
      <c r="G127" s="4">
        <f t="shared" si="1"/>
        <v>0</v>
      </c>
    </row>
    <row r="128" ht="15.75" customHeight="1">
      <c r="F128" s="8">
        <v>126.0</v>
      </c>
      <c r="G128" s="4">
        <f t="shared" si="1"/>
        <v>0</v>
      </c>
    </row>
    <row r="129" ht="15.75" customHeight="1">
      <c r="F129" s="8">
        <v>127.0</v>
      </c>
      <c r="G129" s="4">
        <f t="shared" si="1"/>
        <v>0</v>
      </c>
    </row>
    <row r="130" ht="15.75" customHeight="1">
      <c r="F130" s="4">
        <v>128.0</v>
      </c>
      <c r="G130" s="4">
        <f t="shared" si="1"/>
        <v>0</v>
      </c>
    </row>
    <row r="131" ht="15.75" customHeight="1">
      <c r="F131" s="8">
        <v>129.0</v>
      </c>
      <c r="G131" s="4">
        <f t="shared" si="1"/>
        <v>0</v>
      </c>
    </row>
    <row r="132" ht="15.75" customHeight="1">
      <c r="F132" s="8">
        <v>130.0</v>
      </c>
      <c r="G132" s="4">
        <f t="shared" si="1"/>
        <v>0</v>
      </c>
    </row>
    <row r="133" ht="15.75" customHeight="1">
      <c r="F133" s="8">
        <v>131.0</v>
      </c>
      <c r="G133" s="4">
        <f t="shared" si="1"/>
        <v>0</v>
      </c>
    </row>
    <row r="134" ht="15.75" customHeight="1">
      <c r="F134" s="4">
        <v>132.0</v>
      </c>
      <c r="G134" s="4">
        <f t="shared" si="1"/>
        <v>0</v>
      </c>
    </row>
    <row r="135" ht="15.75" customHeight="1">
      <c r="F135" s="8">
        <v>133.0</v>
      </c>
      <c r="G135" s="4">
        <f t="shared" si="1"/>
        <v>0</v>
      </c>
    </row>
    <row r="136" ht="15.75" customHeight="1">
      <c r="F136" s="8">
        <v>134.0</v>
      </c>
      <c r="G136" s="4">
        <f t="shared" si="1"/>
        <v>0</v>
      </c>
    </row>
    <row r="137" ht="15.75" customHeight="1">
      <c r="F137" s="8">
        <v>135.0</v>
      </c>
      <c r="G137" s="4">
        <f t="shared" si="1"/>
        <v>0</v>
      </c>
    </row>
    <row r="138" ht="15.75" customHeight="1">
      <c r="F138" s="8">
        <v>136.0</v>
      </c>
      <c r="G138" s="4">
        <f t="shared" si="1"/>
        <v>0</v>
      </c>
    </row>
    <row r="139" ht="15.75" customHeight="1">
      <c r="F139" s="4">
        <v>137.0</v>
      </c>
      <c r="G139" s="4">
        <f t="shared" si="1"/>
        <v>0</v>
      </c>
    </row>
    <row r="140" ht="15.75" customHeight="1">
      <c r="F140" s="8">
        <v>138.0</v>
      </c>
      <c r="G140" s="4">
        <f t="shared" si="1"/>
        <v>0</v>
      </c>
    </row>
    <row r="141" ht="15.75" customHeight="1">
      <c r="F141" s="8">
        <v>139.0</v>
      </c>
      <c r="G141" s="4">
        <f t="shared" si="1"/>
        <v>0</v>
      </c>
    </row>
    <row r="142" ht="15.75" customHeight="1">
      <c r="F142" s="8">
        <v>140.0</v>
      </c>
      <c r="G142" s="4">
        <f t="shared" si="1"/>
        <v>0</v>
      </c>
    </row>
    <row r="143" ht="15.75" customHeight="1">
      <c r="F143" s="8">
        <v>141.0</v>
      </c>
      <c r="G143" s="4">
        <f t="shared" si="1"/>
        <v>0</v>
      </c>
    </row>
    <row r="144" ht="15.75" customHeight="1">
      <c r="F144" s="4">
        <v>142.0</v>
      </c>
      <c r="G144" s="4">
        <f t="shared" si="1"/>
        <v>0</v>
      </c>
    </row>
    <row r="145" ht="15.75" customHeight="1">
      <c r="F145" s="8">
        <v>143.0</v>
      </c>
      <c r="G145" s="4">
        <f t="shared" si="1"/>
        <v>0</v>
      </c>
    </row>
    <row r="146" ht="15.75" customHeight="1">
      <c r="F146" s="8">
        <v>144.0</v>
      </c>
      <c r="G146" s="4">
        <f t="shared" si="1"/>
        <v>0</v>
      </c>
    </row>
    <row r="147" ht="15.75" customHeight="1">
      <c r="F147" s="8">
        <v>145.0</v>
      </c>
      <c r="G147" s="4">
        <f t="shared" si="1"/>
        <v>0</v>
      </c>
    </row>
    <row r="148" ht="15.75" customHeight="1">
      <c r="F148" s="8">
        <v>146.0</v>
      </c>
      <c r="G148" s="4">
        <f t="shared" si="1"/>
        <v>0</v>
      </c>
    </row>
    <row r="149" ht="15.75" customHeight="1">
      <c r="F149" s="4">
        <v>147.0</v>
      </c>
      <c r="G149" s="4">
        <f t="shared" si="1"/>
        <v>0</v>
      </c>
    </row>
    <row r="150" ht="15.75" customHeight="1">
      <c r="F150" s="8">
        <v>148.0</v>
      </c>
      <c r="G150" s="4">
        <f t="shared" si="1"/>
        <v>0</v>
      </c>
    </row>
    <row r="151" ht="15.75" customHeight="1">
      <c r="F151" s="8">
        <v>149.0</v>
      </c>
      <c r="G151" s="4">
        <f t="shared" si="1"/>
        <v>0</v>
      </c>
    </row>
    <row r="152" ht="15.75" customHeight="1">
      <c r="F152" s="8">
        <v>150.0</v>
      </c>
      <c r="G152" s="4">
        <f t="shared" si="1"/>
        <v>0</v>
      </c>
    </row>
    <row r="153" ht="15.75" customHeight="1">
      <c r="F153" s="8">
        <v>151.0</v>
      </c>
      <c r="G153" s="4">
        <f t="shared" si="1"/>
        <v>0</v>
      </c>
    </row>
    <row r="154" ht="15.75" customHeight="1">
      <c r="F154" s="4">
        <v>152.0</v>
      </c>
      <c r="G154" s="4">
        <f t="shared" si="1"/>
        <v>0</v>
      </c>
    </row>
    <row r="155" ht="15.75" customHeight="1">
      <c r="F155" s="8">
        <v>153.0</v>
      </c>
      <c r="G155" s="4">
        <f t="shared" si="1"/>
        <v>0</v>
      </c>
    </row>
    <row r="156" ht="15.75" customHeight="1">
      <c r="F156" s="8">
        <v>154.0</v>
      </c>
      <c r="G156" s="4">
        <f t="shared" si="1"/>
        <v>0</v>
      </c>
    </row>
    <row r="157" ht="15.75" customHeight="1">
      <c r="F157" s="8">
        <v>155.0</v>
      </c>
      <c r="G157" s="4">
        <f t="shared" si="1"/>
        <v>0</v>
      </c>
    </row>
    <row r="158" ht="15.75" customHeight="1">
      <c r="F158" s="8">
        <v>156.0</v>
      </c>
      <c r="G158" s="4">
        <f t="shared" si="1"/>
        <v>0</v>
      </c>
    </row>
    <row r="159" ht="15.75" customHeight="1">
      <c r="F159" s="4">
        <v>157.0</v>
      </c>
      <c r="G159" s="4">
        <f t="shared" si="1"/>
        <v>0</v>
      </c>
    </row>
    <row r="160" ht="15.75" customHeight="1">
      <c r="F160" s="8">
        <v>158.0</v>
      </c>
      <c r="G160" s="4">
        <f t="shared" si="1"/>
        <v>0</v>
      </c>
    </row>
    <row r="161" ht="15.75" customHeight="1">
      <c r="F161" s="8">
        <v>159.0</v>
      </c>
      <c r="G161" s="4">
        <f t="shared" si="1"/>
        <v>0</v>
      </c>
    </row>
    <row r="162" ht="15.75" customHeight="1">
      <c r="F162" s="8">
        <v>160.0</v>
      </c>
      <c r="G162" s="4">
        <f t="shared" si="1"/>
        <v>0</v>
      </c>
    </row>
    <row r="163" ht="15.75" customHeight="1">
      <c r="F163" s="8">
        <v>161.0</v>
      </c>
      <c r="G163" s="4">
        <f t="shared" si="1"/>
        <v>0</v>
      </c>
    </row>
    <row r="164" ht="15.75" customHeight="1">
      <c r="F164" s="4">
        <v>162.0</v>
      </c>
      <c r="G164" s="4">
        <f t="shared" si="1"/>
        <v>0</v>
      </c>
    </row>
    <row r="165" ht="15.75" customHeight="1">
      <c r="F165" s="8">
        <v>163.0</v>
      </c>
      <c r="G165" s="4">
        <f t="shared" si="1"/>
        <v>0</v>
      </c>
    </row>
    <row r="166" ht="15.75" customHeight="1">
      <c r="F166" s="8">
        <v>164.0</v>
      </c>
      <c r="G166" s="4">
        <f t="shared" si="1"/>
        <v>0</v>
      </c>
    </row>
    <row r="167" ht="15.75" customHeight="1">
      <c r="F167" s="8">
        <v>165.0</v>
      </c>
      <c r="G167" s="4">
        <f t="shared" si="1"/>
        <v>0</v>
      </c>
    </row>
    <row r="168" ht="15.75" customHeight="1">
      <c r="F168" s="8">
        <v>166.0</v>
      </c>
      <c r="G168" s="4">
        <f t="shared" si="1"/>
        <v>0</v>
      </c>
    </row>
    <row r="169" ht="15.75" customHeight="1">
      <c r="F169" s="4">
        <v>167.0</v>
      </c>
      <c r="G169" s="4">
        <f t="shared" si="1"/>
        <v>0</v>
      </c>
    </row>
    <row r="170" ht="15.75" customHeight="1">
      <c r="F170" s="8">
        <v>168.0</v>
      </c>
      <c r="G170" s="4">
        <f t="shared" si="1"/>
        <v>0</v>
      </c>
    </row>
    <row r="171" ht="15.75" customHeight="1">
      <c r="F171" s="8">
        <v>169.0</v>
      </c>
      <c r="G171" s="4">
        <f t="shared" si="1"/>
        <v>0</v>
      </c>
    </row>
    <row r="172" ht="15.75" customHeight="1">
      <c r="F172" s="8">
        <v>170.0</v>
      </c>
      <c r="G172" s="4">
        <f t="shared" si="1"/>
        <v>0</v>
      </c>
    </row>
    <row r="173" ht="15.75" customHeight="1">
      <c r="F173" s="8">
        <v>171.0</v>
      </c>
      <c r="G173" s="4">
        <f t="shared" si="1"/>
        <v>0</v>
      </c>
    </row>
    <row r="174" ht="15.75" customHeight="1">
      <c r="F174" s="4">
        <v>172.0</v>
      </c>
      <c r="G174" s="4">
        <f t="shared" si="1"/>
        <v>0</v>
      </c>
    </row>
    <row r="175" ht="15.75" customHeight="1">
      <c r="F175" s="8">
        <v>173.0</v>
      </c>
      <c r="G175" s="4">
        <f t="shared" si="1"/>
        <v>0</v>
      </c>
    </row>
    <row r="176" ht="15.75" customHeight="1">
      <c r="F176" s="8">
        <v>174.0</v>
      </c>
      <c r="G176" s="4">
        <f t="shared" si="1"/>
        <v>0</v>
      </c>
    </row>
    <row r="177" ht="15.75" customHeight="1">
      <c r="F177" s="8">
        <v>175.0</v>
      </c>
      <c r="G177" s="4">
        <f t="shared" si="1"/>
        <v>0</v>
      </c>
    </row>
    <row r="178" ht="15.75" customHeight="1">
      <c r="F178" s="8">
        <v>176.0</v>
      </c>
      <c r="G178" s="4">
        <f t="shared" si="1"/>
        <v>0</v>
      </c>
    </row>
    <row r="179" ht="15.75" customHeight="1">
      <c r="F179" s="4">
        <v>177.0</v>
      </c>
      <c r="G179" s="4">
        <f t="shared" si="1"/>
        <v>0</v>
      </c>
    </row>
    <row r="180" ht="15.75" customHeight="1">
      <c r="F180" s="8">
        <v>178.0</v>
      </c>
      <c r="G180" s="4">
        <f t="shared" si="1"/>
        <v>0</v>
      </c>
    </row>
    <row r="181" ht="15.75" customHeight="1">
      <c r="F181" s="8">
        <v>179.0</v>
      </c>
      <c r="G181" s="4">
        <f t="shared" si="1"/>
        <v>0</v>
      </c>
    </row>
    <row r="182" ht="15.75" customHeight="1">
      <c r="F182" s="8">
        <v>180.0</v>
      </c>
      <c r="G182" s="4">
        <f t="shared" si="1"/>
        <v>0</v>
      </c>
    </row>
    <row r="183" ht="15.75" customHeight="1">
      <c r="F183" s="8">
        <v>181.0</v>
      </c>
      <c r="G183" s="4">
        <f t="shared" si="1"/>
        <v>0</v>
      </c>
    </row>
    <row r="184" ht="15.75" customHeight="1">
      <c r="F184" s="4">
        <v>182.0</v>
      </c>
      <c r="G184" s="4">
        <f t="shared" si="1"/>
        <v>0</v>
      </c>
    </row>
    <row r="185" ht="15.75" customHeight="1">
      <c r="F185" s="8">
        <v>183.0</v>
      </c>
      <c r="G185" s="4">
        <f t="shared" si="1"/>
        <v>0</v>
      </c>
    </row>
    <row r="186" ht="15.75" customHeight="1">
      <c r="F186" s="8">
        <v>184.0</v>
      </c>
      <c r="G186" s="4">
        <f t="shared" si="1"/>
        <v>0</v>
      </c>
    </row>
    <row r="187" ht="15.75" customHeight="1">
      <c r="F187" s="8">
        <v>185.0</v>
      </c>
      <c r="G187" s="4">
        <f t="shared" si="1"/>
        <v>0</v>
      </c>
    </row>
    <row r="188" ht="15.75" customHeight="1">
      <c r="F188" s="8">
        <v>186.0</v>
      </c>
      <c r="G188" s="4">
        <f t="shared" si="1"/>
        <v>0</v>
      </c>
    </row>
    <row r="189" ht="15.75" customHeight="1">
      <c r="F189" s="4">
        <v>187.0</v>
      </c>
      <c r="G189" s="4">
        <f t="shared" si="1"/>
        <v>0</v>
      </c>
    </row>
    <row r="190" ht="15.75" customHeight="1">
      <c r="F190" s="8">
        <v>188.0</v>
      </c>
      <c r="G190" s="4">
        <f t="shared" si="1"/>
        <v>0</v>
      </c>
    </row>
    <row r="191" ht="15.75" customHeight="1">
      <c r="F191" s="8">
        <v>189.0</v>
      </c>
      <c r="G191" s="4">
        <f t="shared" si="1"/>
        <v>0</v>
      </c>
    </row>
    <row r="192" ht="15.75" customHeight="1">
      <c r="F192" s="8">
        <v>190.0</v>
      </c>
      <c r="G192" s="4">
        <f t="shared" si="1"/>
        <v>0</v>
      </c>
    </row>
    <row r="193" ht="15.75" customHeight="1">
      <c r="F193" s="8">
        <v>191.0</v>
      </c>
      <c r="G193" s="4">
        <f t="shared" si="1"/>
        <v>0</v>
      </c>
    </row>
    <row r="194" ht="15.75" customHeight="1">
      <c r="F194" s="4">
        <v>192.0</v>
      </c>
      <c r="G194" s="4">
        <f t="shared" si="1"/>
        <v>0</v>
      </c>
    </row>
    <row r="195" ht="15.75" customHeight="1">
      <c r="F195" s="8">
        <v>193.0</v>
      </c>
      <c r="G195" s="4">
        <f t="shared" si="1"/>
        <v>0</v>
      </c>
    </row>
    <row r="196" ht="15.75" customHeight="1">
      <c r="F196" s="8">
        <v>194.0</v>
      </c>
      <c r="G196" s="4">
        <f t="shared" si="1"/>
        <v>0</v>
      </c>
    </row>
    <row r="197" ht="15.75" customHeight="1">
      <c r="F197" s="8">
        <v>195.0</v>
      </c>
      <c r="G197" s="4">
        <f t="shared" si="1"/>
        <v>0</v>
      </c>
    </row>
    <row r="198" ht="15.75" customHeight="1">
      <c r="F198" s="8">
        <v>196.0</v>
      </c>
      <c r="G198" s="4">
        <f t="shared" si="1"/>
        <v>0</v>
      </c>
    </row>
    <row r="199" ht="15.75" customHeight="1">
      <c r="F199" s="4">
        <v>197.0</v>
      </c>
      <c r="G199" s="4">
        <f t="shared" si="1"/>
        <v>0</v>
      </c>
    </row>
    <row r="200" ht="15.75" customHeight="1">
      <c r="F200" s="8">
        <v>198.0</v>
      </c>
      <c r="G200" s="4">
        <f t="shared" si="1"/>
        <v>0</v>
      </c>
    </row>
    <row r="201" ht="15.75" customHeight="1">
      <c r="F201" s="8">
        <v>199.0</v>
      </c>
      <c r="G201" s="4">
        <f t="shared" si="1"/>
        <v>0</v>
      </c>
    </row>
    <row r="202" ht="15.75" customHeight="1">
      <c r="F202" s="8">
        <v>200.0</v>
      </c>
      <c r="G202" s="4">
        <f t="shared" si="1"/>
        <v>0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14:D14"/>
  </mergeCells>
  <printOptions/>
  <pageMargins bottom="1.0" footer="0.0" header="0.0" left="0.75" right="0.75" top="1.0"/>
  <pageSetup orientation="landscape"/>
  <drawing r:id="rId4"/>
  <legacyDrawing r:id="rId5"/>
</worksheet>
</file>